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naik\Desktop\Paperpublishgit\data\Fig1\Sup1\"/>
    </mc:Choice>
  </mc:AlternateContent>
  <bookViews>
    <workbookView xWindow="-28020" yWindow="780" windowWidth="21600" windowHeight="12645"/>
  </bookViews>
  <sheets>
    <sheet name="Sheet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  <c r="H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  <c r="H4" i="1"/>
  <c r="H3" i="1"/>
  <c r="H5" i="1"/>
  <c r="H6" i="1"/>
  <c r="H7" i="1"/>
  <c r="H8" i="1"/>
  <c r="H10" i="1"/>
  <c r="H11" i="1"/>
  <c r="H12" i="1"/>
  <c r="H13" i="1"/>
  <c r="H14" i="1"/>
  <c r="H15" i="1"/>
  <c r="H16" i="1"/>
  <c r="H17" i="1"/>
  <c r="F4" i="1"/>
  <c r="F3" i="1"/>
  <c r="F5" i="1"/>
  <c r="F6" i="1"/>
  <c r="F7" i="1"/>
  <c r="F8" i="1"/>
  <c r="F9" i="1"/>
  <c r="H9" i="1" s="1"/>
  <c r="F10" i="1"/>
  <c r="F11" i="1"/>
  <c r="F12" i="1"/>
  <c r="F13" i="1"/>
  <c r="F14" i="1"/>
  <c r="F15" i="1"/>
  <c r="F16" i="1"/>
  <c r="F17" i="1"/>
</calcChain>
</file>

<file path=xl/sharedStrings.xml><?xml version="1.0" encoding="utf-8"?>
<sst xmlns="http://schemas.openxmlformats.org/spreadsheetml/2006/main" count="18" uniqueCount="18">
  <si>
    <t>Sampleid</t>
  </si>
  <si>
    <t>K8 1k</t>
  </si>
  <si>
    <t>K8 sph</t>
  </si>
  <si>
    <t>K8 sh</t>
  </si>
  <si>
    <t>K8 bud</t>
  </si>
  <si>
    <t>K18 1k</t>
  </si>
  <si>
    <t>K18 sph</t>
  </si>
  <si>
    <t>K18 sh</t>
  </si>
  <si>
    <t>K18 bud</t>
  </si>
  <si>
    <t>K4 1k</t>
  </si>
  <si>
    <t>K4 sph</t>
  </si>
  <si>
    <t>K4 sh</t>
  </si>
  <si>
    <t>K4 bud</t>
  </si>
  <si>
    <t>K5 1k</t>
  </si>
  <si>
    <t>K5 sph</t>
  </si>
  <si>
    <t>K5 sh</t>
  </si>
  <si>
    <t>K5 bud</t>
  </si>
  <si>
    <t>Avg ddcq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</si>
</sst>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_);\(0.00\)"/>
    <numFmt numFmtId="165" formatCode="0.00_ ;\-0.00\ "/>
    <numFmt numFmtId="166" formatCode="0.0000000000000000_);\(0.0000000000000000\)"/>
  </numFmts>
  <fonts count="3" x14ac:knownFonts="1">
    <font>
      <sz val="11"/>
      <color theme="1"/>
      <name val="Calibri"/>
      <family val="2"/>
      <scheme val="minor"/>
    </font>
    <font>
      <sz val="8.25"/>
      <name val="Microsoft Sans Serif"/>
      <family val="2"/>
    </font>
    <font>
      <sz val="8.25"/>
      <name val="Microsoft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13">
    <xf numFmtId="0" fontId="0" fillId="0" borderId="0" xfId="0"/>
    <xf numFmtId="164" fontId="0" fillId="0" borderId="0" xfId="0" applyNumberFormat="1"/>
    <xf numFmtId="165" fontId="1" fillId="0" borderId="0" xfId="1" applyNumberFormat="1" applyFont="1" applyAlignment="1" applyProtection="1">
      <alignment vertical="center"/>
    </xf>
    <xf numFmtId="166" fontId="0" fillId="0" borderId="0" xfId="0" applyNumberFormat="1"/>
    <xf numFmtId="165" fontId="1" fillId="0" borderId="0" xfId="1" applyNumberFormat="1" applyFont="1" applyAlignment="1" applyProtection="1">
      <alignment vertical="center"/>
    </xf>
    <xf numFmtId="165" fontId="1" fillId="0" borderId="0" xfId="1" applyNumberFormat="1" applyFont="1" applyAlignment="1" applyProtection="1">
      <alignment vertical="center"/>
    </xf>
    <xf numFmtId="165" fontId="1" fillId="0" borderId="0" xfId="1" applyNumberFormat="1" applyFont="1" applyAlignment="1" applyProtection="1">
      <alignment vertical="center"/>
    </xf>
    <xf numFmtId="165" fontId="1" fillId="0" borderId="0" xfId="1" applyNumberFormat="1" applyFont="1" applyAlignment="1" applyProtection="1">
      <alignment vertical="center"/>
    </xf>
    <xf numFmtId="165" fontId="1" fillId="0" borderId="0" xfId="1" applyNumberFormat="1" applyFont="1" applyAlignment="1" applyProtection="1">
      <alignment vertical="center"/>
    </xf>
    <xf numFmtId="165" fontId="1" fillId="0" borderId="0" xfId="1" applyNumberFormat="1" applyFont="1" applyAlignment="1" applyProtection="1">
      <alignment vertical="center"/>
    </xf>
    <xf numFmtId="165" fontId="1" fillId="0" borderId="0" xfId="1" applyNumberFormat="1" applyFont="1" applyAlignment="1" applyProtection="1">
      <alignment vertical="center"/>
    </xf>
    <xf numFmtId="165" fontId="1" fillId="0" borderId="0" xfId="1" applyNumberFormat="1" applyFont="1" applyAlignment="1" applyProtection="1">
      <alignment vertical="center"/>
    </xf>
    <xf numFmtId="165" fontId="1" fillId="0" borderId="0" xfId="1" applyNumberFormat="1" applyFont="1" applyAlignment="1" applyProtection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D10" sqref="D10"/>
    </sheetView>
  </sheetViews>
  <sheetFormatPr defaultRowHeight="15" x14ac:dyDescent="0.25"/>
  <cols>
    <col min="8" max="8" width="20.5703125" bestFit="1" customWidth="1"/>
  </cols>
  <sheetData>
    <row r="1" spans="1:8" x14ac:dyDescent="0.25">
      <c r="A1" t="s">
        <v>0</v>
      </c>
      <c r="B1">
        <v>1</v>
      </c>
      <c r="C1">
        <v>2</v>
      </c>
      <c r="D1">
        <v>3</v>
      </c>
      <c r="E1">
        <v>4</v>
      </c>
      <c r="F1" t="s">
        <v>17</v>
      </c>
    </row>
    <row r="2" spans="1:8" x14ac:dyDescent="0.25">
      <c r="A2" t="s">
        <v>1</v>
      </c>
      <c r="B2">
        <v>6.9918871536377374</v>
      </c>
      <c r="C2">
        <v>3.5278806515572683</v>
      </c>
      <c r="D2">
        <v>3.4923541894774637</v>
      </c>
      <c r="E2" s="11">
        <v>5.2443019814677001</v>
      </c>
      <c r="F2" s="1">
        <f>AVERAGE(B2:E2)</f>
        <v>4.8141059940350424</v>
      </c>
      <c r="G2">
        <f>_xlfn.STDEV.P(B2:E2)/2</f>
        <v>0.7215089583299934</v>
      </c>
      <c r="H2" s="3">
        <f>2^-F2</f>
        <v>3.5547551615420607E-2</v>
      </c>
    </row>
    <row r="3" spans="1:8" x14ac:dyDescent="0.25">
      <c r="A3" t="s">
        <v>2</v>
      </c>
      <c r="B3">
        <v>-3.0532345756409818</v>
      </c>
      <c r="C3">
        <v>2.0314054772029984</v>
      </c>
      <c r="D3">
        <v>1.9997695164476177</v>
      </c>
      <c r="E3" s="11">
        <v>5.4953885534394509</v>
      </c>
      <c r="F3" s="1">
        <f t="shared" ref="F3:F17" si="0">AVERAGE(B3:E3)</f>
        <v>1.6183322428622713</v>
      </c>
      <c r="G3">
        <f t="shared" ref="G3:G17" si="1">_xlfn.STDEV.P(B3:E3)/2</f>
        <v>1.5242052450731469</v>
      </c>
      <c r="H3" s="3">
        <f t="shared" ref="H3:H17" si="2">2^-F3</f>
        <v>0.32571176949637348</v>
      </c>
    </row>
    <row r="4" spans="1:8" x14ac:dyDescent="0.25">
      <c r="A4" t="s">
        <v>3</v>
      </c>
      <c r="B4">
        <v>-4.5258706381428837</v>
      </c>
      <c r="C4">
        <v>-4.6133180443933171</v>
      </c>
      <c r="D4">
        <v>-3.9617431536886336</v>
      </c>
      <c r="E4" s="11">
        <v>-5.2314130581452005</v>
      </c>
      <c r="F4" s="1">
        <f>AVERAGE(B4:E4)</f>
        <v>-4.5830862235925087</v>
      </c>
      <c r="G4">
        <f t="shared" si="1"/>
        <v>0.22508088561753206</v>
      </c>
      <c r="H4" s="3">
        <f>2^-F4</f>
        <v>23.968807419096819</v>
      </c>
    </row>
    <row r="5" spans="1:8" x14ac:dyDescent="0.25">
      <c r="A5" t="s">
        <v>4</v>
      </c>
      <c r="B5">
        <v>-5.2155785883294854</v>
      </c>
      <c r="C5">
        <v>-4.3581819987517498</v>
      </c>
      <c r="D5">
        <v>-5.6969455013159838</v>
      </c>
      <c r="E5" s="11">
        <v>-4.6696294533661984</v>
      </c>
      <c r="F5" s="1">
        <f t="shared" si="0"/>
        <v>-4.9850838854408543</v>
      </c>
      <c r="G5">
        <f t="shared" si="1"/>
        <v>0.25646542682030876</v>
      </c>
      <c r="H5" s="3">
        <f t="shared" si="2"/>
        <v>31.670854452215195</v>
      </c>
    </row>
    <row r="6" spans="1:8" x14ac:dyDescent="0.25">
      <c r="A6" t="s">
        <v>5</v>
      </c>
      <c r="B6">
        <v>6.8416734120089338</v>
      </c>
      <c r="C6">
        <v>3.2937074692877673</v>
      </c>
      <c r="D6">
        <v>3.1725486814619472</v>
      </c>
      <c r="E6" s="12">
        <v>6.914058589944851</v>
      </c>
      <c r="F6" s="1">
        <f t="shared" si="0"/>
        <v>5.0554970381758748</v>
      </c>
      <c r="G6">
        <f t="shared" si="1"/>
        <v>0.91152598972985732</v>
      </c>
      <c r="H6" s="3">
        <f t="shared" si="2"/>
        <v>3.0070714581173486E-2</v>
      </c>
    </row>
    <row r="7" spans="1:8" x14ac:dyDescent="0.25">
      <c r="A7" t="s">
        <v>6</v>
      </c>
      <c r="B7">
        <v>-2.6375690296349852</v>
      </c>
      <c r="C7">
        <v>1.3570024923650514</v>
      </c>
      <c r="D7">
        <v>1.4496662385777697</v>
      </c>
      <c r="E7" s="12">
        <v>5.4677001731690318</v>
      </c>
      <c r="F7" s="1">
        <f t="shared" si="0"/>
        <v>1.4091999686192169</v>
      </c>
      <c r="G7">
        <f t="shared" si="1"/>
        <v>1.4329193393884272</v>
      </c>
      <c r="H7" s="3">
        <f t="shared" si="2"/>
        <v>0.3765204244171767</v>
      </c>
    </row>
    <row r="8" spans="1:8" x14ac:dyDescent="0.25">
      <c r="A8" t="s">
        <v>7</v>
      </c>
      <c r="B8">
        <v>-4.5439547371950972</v>
      </c>
      <c r="C8">
        <v>-4.7904561299953059</v>
      </c>
      <c r="D8">
        <v>-4.2026332552736321</v>
      </c>
      <c r="E8" s="12">
        <v>-5.0763693047140848</v>
      </c>
      <c r="F8" s="1">
        <f t="shared" si="0"/>
        <v>-4.65335335679453</v>
      </c>
      <c r="G8">
        <f t="shared" si="1"/>
        <v>0.16063474299223315</v>
      </c>
      <c r="H8" s="3">
        <f t="shared" si="2"/>
        <v>25.165116242007716</v>
      </c>
    </row>
    <row r="9" spans="1:8" x14ac:dyDescent="0.25">
      <c r="A9" t="s">
        <v>8</v>
      </c>
      <c r="B9">
        <v>-5.1123605099010341</v>
      </c>
      <c r="C9">
        <v>-4.4931977294227181</v>
      </c>
      <c r="D9">
        <v>-5.9338551850976904</v>
      </c>
      <c r="E9" s="12">
        <v>-5.1839621838381333</v>
      </c>
      <c r="F9" s="1">
        <f t="shared" si="0"/>
        <v>-5.1808439020648942</v>
      </c>
      <c r="G9">
        <f t="shared" si="1"/>
        <v>0.2555121021849574</v>
      </c>
      <c r="H9" s="3">
        <f t="shared" si="2"/>
        <v>36.273496246227609</v>
      </c>
    </row>
    <row r="10" spans="1:8" x14ac:dyDescent="0.25">
      <c r="A10" t="s">
        <v>9</v>
      </c>
      <c r="B10" s="2">
        <v>10.343501463723697</v>
      </c>
      <c r="C10" s="5">
        <v>5.2434374472171648</v>
      </c>
      <c r="D10" s="7">
        <v>5.0337416356557938</v>
      </c>
      <c r="E10" s="9">
        <v>10.278800598823466</v>
      </c>
      <c r="F10" s="1">
        <f t="shared" si="0"/>
        <v>7.7248702863550305</v>
      </c>
      <c r="G10">
        <f t="shared" si="1"/>
        <v>1.2937221406130461</v>
      </c>
      <c r="H10" s="3">
        <f t="shared" si="2"/>
        <v>4.7269643963358185E-3</v>
      </c>
    </row>
    <row r="11" spans="1:8" x14ac:dyDescent="0.25">
      <c r="A11" t="s">
        <v>10</v>
      </c>
      <c r="B11" s="2">
        <v>-1.3622781592787696</v>
      </c>
      <c r="C11" s="5">
        <v>4.6553822816671513</v>
      </c>
      <c r="D11" s="7">
        <v>4.0873840059710851</v>
      </c>
      <c r="E11" s="9">
        <v>9.5446833241600473</v>
      </c>
      <c r="F11" s="1">
        <f t="shared" si="0"/>
        <v>4.2312928631298785</v>
      </c>
      <c r="G11">
        <f t="shared" si="1"/>
        <v>1.931979499247148</v>
      </c>
      <c r="H11" s="3">
        <f t="shared" si="2"/>
        <v>5.3241946876163154E-2</v>
      </c>
    </row>
    <row r="12" spans="1:8" x14ac:dyDescent="0.25">
      <c r="A12" t="s">
        <v>11</v>
      </c>
      <c r="B12" s="2">
        <v>-3.6802646145132165</v>
      </c>
      <c r="C12" s="5">
        <v>-3.0514083557078493</v>
      </c>
      <c r="D12" s="7">
        <v>-2.1601960219696963</v>
      </c>
      <c r="E12" s="9">
        <v>-4.1931743859944994</v>
      </c>
      <c r="F12" s="1">
        <f t="shared" si="0"/>
        <v>-3.2712608445463154</v>
      </c>
      <c r="G12">
        <f t="shared" si="1"/>
        <v>0.37914449905085257</v>
      </c>
      <c r="H12" s="3">
        <f t="shared" si="2"/>
        <v>9.6548968406700055</v>
      </c>
    </row>
    <row r="13" spans="1:8" x14ac:dyDescent="0.25">
      <c r="A13" t="s">
        <v>12</v>
      </c>
      <c r="B13" s="2">
        <v>-3.9240985287691323</v>
      </c>
      <c r="C13" s="5">
        <v>-2.9067080099464668</v>
      </c>
      <c r="D13" s="7">
        <v>-5.0815058924802621</v>
      </c>
      <c r="E13" s="9">
        <v>-3.9657861622758155</v>
      </c>
      <c r="F13" s="1">
        <f t="shared" si="0"/>
        <v>-3.9695246483679192</v>
      </c>
      <c r="G13">
        <f t="shared" si="1"/>
        <v>0.38472059689331467</v>
      </c>
      <c r="H13" s="3">
        <f t="shared" si="2"/>
        <v>15.665562286080926</v>
      </c>
    </row>
    <row r="14" spans="1:8" x14ac:dyDescent="0.25">
      <c r="A14" t="s">
        <v>13</v>
      </c>
      <c r="B14" s="4">
        <v>8.0535312847165699</v>
      </c>
      <c r="C14" s="6">
        <v>7.4742796250239003</v>
      </c>
      <c r="D14" s="8">
        <v>6.9519867664652999</v>
      </c>
      <c r="E14" s="10">
        <v>9.155046997283101</v>
      </c>
      <c r="F14" s="1">
        <f t="shared" si="0"/>
        <v>7.9087111683722178</v>
      </c>
      <c r="G14">
        <f t="shared" si="1"/>
        <v>0.40914378673526197</v>
      </c>
      <c r="H14" s="3">
        <f t="shared" si="2"/>
        <v>4.1614119625592349E-3</v>
      </c>
    </row>
    <row r="15" spans="1:8" x14ac:dyDescent="0.25">
      <c r="A15" t="s">
        <v>14</v>
      </c>
      <c r="B15" s="4">
        <v>-0.85220564599556781</v>
      </c>
      <c r="C15" s="6">
        <v>5.9880513335736509</v>
      </c>
      <c r="D15" s="8">
        <v>5.6546659277292335</v>
      </c>
      <c r="E15" s="10">
        <v>8.8534324763340848</v>
      </c>
      <c r="F15" s="1">
        <f t="shared" si="0"/>
        <v>4.9109860229103504</v>
      </c>
      <c r="G15">
        <f t="shared" si="1"/>
        <v>1.776062916518683</v>
      </c>
      <c r="H15" s="3">
        <f t="shared" si="2"/>
        <v>3.3238843050255991E-2</v>
      </c>
    </row>
    <row r="16" spans="1:8" x14ac:dyDescent="0.25">
      <c r="A16" t="s">
        <v>15</v>
      </c>
      <c r="B16" s="4">
        <v>-3.3495722059537343</v>
      </c>
      <c r="C16" s="6">
        <v>-2.8659984297616994</v>
      </c>
      <c r="D16" s="8">
        <v>-2.1726789575244965</v>
      </c>
      <c r="E16" s="10">
        <v>-4.1227385229466194</v>
      </c>
      <c r="F16" s="1">
        <f t="shared" si="0"/>
        <v>-3.1277470290466374</v>
      </c>
      <c r="G16">
        <f t="shared" si="1"/>
        <v>0.35530636714248348</v>
      </c>
      <c r="H16" s="3">
        <f t="shared" si="2"/>
        <v>8.7406891326503278</v>
      </c>
    </row>
    <row r="17" spans="1:8" x14ac:dyDescent="0.25">
      <c r="A17" t="s">
        <v>16</v>
      </c>
      <c r="B17" s="4">
        <v>-4.2172026087496626</v>
      </c>
      <c r="C17" s="6">
        <v>-3.4603701809909815</v>
      </c>
      <c r="D17" s="8">
        <v>-4.7643858064614157</v>
      </c>
      <c r="E17" s="10">
        <v>-3.8630716709255495</v>
      </c>
      <c r="F17" s="1">
        <f t="shared" si="0"/>
        <v>-4.0762575667819023</v>
      </c>
      <c r="G17">
        <f t="shared" si="1"/>
        <v>0.23955055276342091</v>
      </c>
      <c r="H17" s="3">
        <f t="shared" si="2"/>
        <v>16.868474060998203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Naik</dc:creator>
  <cp:lastModifiedBy>Suyash Naik</cp:lastModifiedBy>
  <dcterms:created xsi:type="dcterms:W3CDTF">2025-01-07T11:39:42Z</dcterms:created>
  <dcterms:modified xsi:type="dcterms:W3CDTF">2026-03-12T14:20:50Z</dcterms:modified>
</cp:coreProperties>
</file>