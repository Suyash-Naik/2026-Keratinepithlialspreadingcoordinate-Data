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HD_data\Imaging_et_analysis\PaperFigures\Figure1\Sup\QpCR\"/>
    </mc:Choice>
  </mc:AlternateContent>
  <xr:revisionPtr revIDLastSave="0" documentId="13_ncr:1_{6D8E2EF6-39E2-476A-9B38-28D45807B7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<sst xmlns="http://schemas.openxmlformats.org/spreadsheetml/2006/main" count="19" uniqueCount="19">
  <si>
    <t>Sampleid</t>
  </si>
  <si>
    <t>Avg</t>
  </si>
  <si>
    <t>K4 sh mypt</t>
  </si>
  <si>
    <t>K4 bud mypt</t>
  </si>
  <si>
    <t>K5 sh wt</t>
  </si>
  <si>
    <t>K4 budwt</t>
  </si>
  <si>
    <t>K4 sh wt</t>
  </si>
  <si>
    <t>K5 sh mypt</t>
  </si>
  <si>
    <t>K5 bud mypt</t>
  </si>
  <si>
    <t>K5 budwt</t>
  </si>
  <si>
    <t>std</t>
  </si>
  <si>
    <t>K8 sh mypt</t>
  </si>
  <si>
    <t>K8 bud mypt</t>
  </si>
  <si>
    <t>K8 sh wt</t>
  </si>
  <si>
    <t>K18 bud mypt</t>
  </si>
  <si>
    <t>K18 sh mypt</t>
  </si>
  <si>
    <t>K18 sh wt</t>
  </si>
  <si>
    <t>K18 bud wt</t>
  </si>
  <si>
    <t>K8  bud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</si>
</sst>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:F17"/>
    </sheetView>
  </sheetViews>
  <sheetFormatPr defaultColWidth="8.85546875" defaultRowHeight="15" x14ac:dyDescent="0.25"/>
  <sheetData>
    <row r="1" spans="1:6" x14ac:dyDescent="0.25">
      <c r="A1" t="s">
        <v>0</v>
      </c>
      <c r="B1">
        <v>1</v>
      </c>
      <c r="C1">
        <v>2</v>
      </c>
      <c r="D1">
        <v>3</v>
      </c>
      <c r="E1" t="s">
        <v>1</v>
      </c>
      <c r="F1" t="s">
        <v>10</v>
      </c>
    </row>
    <row r="2" spans="1:6" x14ac:dyDescent="0.25">
      <c r="A2" s="1" t="s">
        <v>13</v>
      </c>
      <c r="B2">
        <v>55.055540354647164</v>
      </c>
      <c r="C2">
        <v>35.474492483309447</v>
      </c>
      <c r="D2">
        <v>27.889615185203379</v>
      </c>
      <c r="E2">
        <f>AVERAGE(B2:D2)</f>
        <v>39.473216007719998</v>
      </c>
      <c r="F2">
        <f>_xlfn.STDEV.P(B2:D2)</f>
        <v>11.44520903978197</v>
      </c>
    </row>
    <row r="3" spans="1:6" x14ac:dyDescent="0.25">
      <c r="A3" s="1" t="s">
        <v>11</v>
      </c>
      <c r="B3">
        <v>41.351802158358794</v>
      </c>
      <c r="C3">
        <v>30.558989208056047</v>
      </c>
      <c r="D3">
        <v>34.926147175255835</v>
      </c>
      <c r="E3">
        <f t="shared" ref="E3:E17" si="0">AVERAGE(B3:D3)</f>
        <v>35.612312847223556</v>
      </c>
      <c r="F3">
        <f t="shared" ref="F3:F17" si="1">_xlfn.STDEV.P(B3:D3)</f>
        <v>4.4327809436887948</v>
      </c>
    </row>
    <row r="4" spans="1:6" x14ac:dyDescent="0.25">
      <c r="A4" s="1" t="s">
        <v>18</v>
      </c>
      <c r="B4">
        <v>33.11885303460074</v>
      </c>
      <c r="C4">
        <v>35.800227748303108</v>
      </c>
      <c r="D4">
        <v>47.426059264381792</v>
      </c>
      <c r="E4">
        <f t="shared" si="0"/>
        <v>38.781713349095213</v>
      </c>
      <c r="F4">
        <f t="shared" si="1"/>
        <v>6.2097224745377861</v>
      </c>
    </row>
    <row r="5" spans="1:6" x14ac:dyDescent="0.25">
      <c r="A5" s="1" t="s">
        <v>12</v>
      </c>
      <c r="B5">
        <v>40.823414885950882</v>
      </c>
      <c r="C5">
        <v>42.747925729558084</v>
      </c>
      <c r="D5">
        <v>41.434471426183698</v>
      </c>
      <c r="E5">
        <f t="shared" si="0"/>
        <v>41.668604013897557</v>
      </c>
      <c r="F5">
        <f t="shared" si="1"/>
        <v>0.80293173153662978</v>
      </c>
    </row>
    <row r="6" spans="1:6" x14ac:dyDescent="0.25">
      <c r="A6" s="1" t="s">
        <v>16</v>
      </c>
      <c r="B6">
        <v>45.910884019487419</v>
      </c>
      <c r="C6">
        <v>38.523090236202677</v>
      </c>
      <c r="D6">
        <v>22.181350808919223</v>
      </c>
      <c r="E6">
        <f t="shared" si="0"/>
        <v>35.5384416882031</v>
      </c>
      <c r="F6">
        <f t="shared" si="1"/>
        <v>9.9147627913857903</v>
      </c>
    </row>
    <row r="7" spans="1:6" x14ac:dyDescent="0.25">
      <c r="A7" s="1" t="s">
        <v>15</v>
      </c>
      <c r="B7">
        <v>54.070195129641633</v>
      </c>
      <c r="C7">
        <v>35.646011460739643</v>
      </c>
      <c r="D7">
        <v>29.493106472997926</v>
      </c>
      <c r="E7">
        <f t="shared" si="0"/>
        <v>39.736437687793064</v>
      </c>
      <c r="F7">
        <f t="shared" si="1"/>
        <v>10.442126595298364</v>
      </c>
    </row>
    <row r="8" spans="1:6" x14ac:dyDescent="0.25">
      <c r="A8" s="1" t="s">
        <v>17</v>
      </c>
      <c r="B8">
        <v>43.463191978257917</v>
      </c>
      <c r="C8">
        <v>46.732564368492902</v>
      </c>
      <c r="D8">
        <v>51.558253275816618</v>
      </c>
      <c r="E8">
        <f t="shared" si="0"/>
        <v>47.25133654085581</v>
      </c>
      <c r="F8">
        <f t="shared" si="1"/>
        <v>3.3250912546797657</v>
      </c>
    </row>
    <row r="9" spans="1:6" x14ac:dyDescent="0.25">
      <c r="A9" s="1" t="s">
        <v>14</v>
      </c>
      <c r="B9">
        <v>42.191890404861603</v>
      </c>
      <c r="C9">
        <v>38.439625172090899</v>
      </c>
      <c r="D9">
        <v>32.658964718498822</v>
      </c>
      <c r="E9">
        <f t="shared" si="0"/>
        <v>37.763493431817103</v>
      </c>
      <c r="F9">
        <f t="shared" si="1"/>
        <v>3.9210571391809932</v>
      </c>
    </row>
    <row r="10" spans="1:6" x14ac:dyDescent="0.25">
      <c r="A10" s="1" t="s">
        <v>6</v>
      </c>
      <c r="B10">
        <v>15.810659598561699</v>
      </c>
      <c r="C10">
        <v>17.397306217863001</v>
      </c>
      <c r="D10">
        <v>10.477775622148888</v>
      </c>
      <c r="E10">
        <f t="shared" si="0"/>
        <v>14.561913812857865</v>
      </c>
      <c r="F10">
        <f t="shared" si="1"/>
        <v>2.9596734554384745</v>
      </c>
    </row>
    <row r="11" spans="1:6" x14ac:dyDescent="0.25">
      <c r="A11" s="1" t="s">
        <v>2</v>
      </c>
      <c r="B11">
        <v>13.871731946308055</v>
      </c>
      <c r="C11">
        <v>19.994995975325807</v>
      </c>
      <c r="D11">
        <v>13.862080664511513</v>
      </c>
      <c r="E11">
        <f t="shared" si="0"/>
        <v>15.909602862048459</v>
      </c>
      <c r="F11">
        <f t="shared" si="1"/>
        <v>2.8888118612237412</v>
      </c>
    </row>
    <row r="12" spans="1:6" x14ac:dyDescent="0.25">
      <c r="A12" s="1" t="s">
        <v>5</v>
      </c>
      <c r="B12">
        <v>22.267967539510355</v>
      </c>
      <c r="C12">
        <v>11.509928680448363</v>
      </c>
      <c r="D12">
        <v>32.750078003702896</v>
      </c>
      <c r="E12">
        <f t="shared" si="0"/>
        <v>22.175991407887206</v>
      </c>
      <c r="F12">
        <f t="shared" si="1"/>
        <v>8.6714985450470117</v>
      </c>
    </row>
    <row r="13" spans="1:6" x14ac:dyDescent="0.25">
      <c r="A13" s="1" t="s">
        <v>3</v>
      </c>
      <c r="B13">
        <v>20.897298149459999</v>
      </c>
      <c r="C13">
        <v>17.439465424860092</v>
      </c>
      <c r="D13">
        <v>24.786931905495933</v>
      </c>
      <c r="E13">
        <f t="shared" si="0"/>
        <v>21.04123182660534</v>
      </c>
      <c r="F13">
        <f t="shared" si="1"/>
        <v>3.0013167775249596</v>
      </c>
    </row>
    <row r="14" spans="1:6" x14ac:dyDescent="0.25">
      <c r="A14" s="1" t="s">
        <v>4</v>
      </c>
      <c r="B14">
        <v>12.878580105235613</v>
      </c>
      <c r="C14">
        <v>18.917712560915426</v>
      </c>
      <c r="D14">
        <v>10.726433564192897</v>
      </c>
      <c r="E14">
        <f t="shared" si="0"/>
        <v>14.174242076781312</v>
      </c>
      <c r="F14">
        <f t="shared" si="1"/>
        <v>3.4673061454025302</v>
      </c>
    </row>
    <row r="15" spans="1:6" x14ac:dyDescent="0.25">
      <c r="A15" s="1" t="s">
        <v>7</v>
      </c>
      <c r="B15">
        <v>16.521503256589796</v>
      </c>
      <c r="C15">
        <v>24.03867451290084</v>
      </c>
      <c r="D15">
        <v>17.416239782495399</v>
      </c>
      <c r="E15">
        <f t="shared" si="0"/>
        <v>19.325472517328677</v>
      </c>
      <c r="F15">
        <f t="shared" si="1"/>
        <v>3.3526947520859012</v>
      </c>
    </row>
    <row r="16" spans="1:6" x14ac:dyDescent="0.25">
      <c r="A16" s="1" t="s">
        <v>9</v>
      </c>
      <c r="B16">
        <v>21.276293601467501</v>
      </c>
      <c r="C16">
        <v>16.17454914106856</v>
      </c>
      <c r="D16">
        <v>40.190439057349181</v>
      </c>
      <c r="E16">
        <f t="shared" si="0"/>
        <v>25.880427266628413</v>
      </c>
      <c r="F16">
        <f t="shared" si="1"/>
        <v>10.330836598027886</v>
      </c>
    </row>
    <row r="17" spans="1:6" x14ac:dyDescent="0.25">
      <c r="A17" s="1" t="s">
        <v>8</v>
      </c>
      <c r="B17">
        <v>24.9408300235369</v>
      </c>
      <c r="C17">
        <v>20.71297088128091</v>
      </c>
      <c r="D17">
        <v>28.651548253245195</v>
      </c>
      <c r="E17">
        <f t="shared" si="0"/>
        <v>24.768449719354336</v>
      </c>
      <c r="F17">
        <f t="shared" si="1"/>
        <v>3.2432020082647202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Naik</dc:creator>
  <cp:lastModifiedBy>Suyash Naik</cp:lastModifiedBy>
  <dcterms:created xsi:type="dcterms:W3CDTF">2025-07-17T08:28:52Z</dcterms:created>
  <dcterms:modified xsi:type="dcterms:W3CDTF">2025-12-24T15:41:39Z</dcterms:modified>
</cp:coreProperties>
</file>